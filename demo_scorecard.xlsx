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Ru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808080"/>
      <sz val="8"/>
    </font>
    <font>
      <name val="Arial"/>
      <i val="1"/>
      <color rgb="00808080"/>
      <sz val="7.5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color rgb="009C6500"/>
      <sz val="10"/>
    </font>
    <font>
      <name val="Arial"/>
      <i val="1"/>
      <sz val="9"/>
    </font>
    <font>
      <name val="Arial"/>
      <b val="1"/>
      <sz val="9.5"/>
    </font>
    <font>
      <name val="Arial"/>
      <sz val="9.5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center" vertical="top"/>
    </xf>
    <xf numFmtId="0" fontId="11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center" vertical="top"/>
    </xf>
    <xf numFmtId="0" fontId="11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/>
    </xf>
    <xf numFmtId="0" fontId="11" fillId="4" borderId="1" applyAlignment="1" pivotButton="0" quotePrefix="0" xfId="0">
      <alignment horizontal="left" vertical="top" wrapText="1"/>
    </xf>
    <xf numFmtId="0" fontId="11" fillId="4" borderId="1" applyAlignment="1" pivotButton="0" quotePrefix="0" xfId="0">
      <alignment horizontal="center" vertical="top"/>
    </xf>
    <xf numFmtId="0" fontId="11" fillId="7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2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ID</t>
        </is>
      </c>
      <c r="B1" s="1" t="inlineStr">
        <is>
          <t>Inconsistency</t>
        </is>
      </c>
      <c r="C1" s="1" t="inlineStr">
        <is>
          <t>Ground truth</t>
        </is>
      </c>
      <c r="D1" s="1" t="inlineStr">
        <is>
          <t>Severity</t>
        </is>
      </c>
      <c r="E1" s="1" t="inlineStr">
        <is>
          <t>Method A run 1</t>
        </is>
      </c>
      <c r="F1" s="1" t="inlineStr">
        <is>
          <t>Method A run 2</t>
        </is>
      </c>
      <c r="G1" s="1" t="inlineStr">
        <is>
          <t>Method A run 3</t>
        </is>
      </c>
      <c r="H1" s="1" t="inlineStr">
        <is>
          <t>Method B v2</t>
        </is>
      </c>
      <c r="I1" s="1" t="inlineStr">
        <is>
          <t>Method B v3</t>
        </is>
      </c>
      <c r="J1" s="1" t="inlineStr">
        <is>
          <t>Method B v4</t>
        </is>
      </c>
    </row>
    <row r="2">
      <c r="B2" s="2" t="inlineStr">
        <is>
          <t>Run id / evidence file</t>
        </is>
      </c>
      <c r="E2" s="3" t="inlineStr">
        <is>
          <t>20260802_225049_A_oneshot_run1</t>
        </is>
      </c>
      <c r="F2" s="3" t="inlineStr">
        <is>
          <t>20260802_225049_A_oneshot_run2</t>
        </is>
      </c>
      <c r="G2" s="3" t="inlineStr">
        <is>
          <t>20260802_225049_A_oneshot_run3</t>
        </is>
      </c>
      <c r="H2" s="3" t="inlineStr">
        <is>
          <t>Bv2_step3_compare (2026-08-03)</t>
        </is>
      </c>
      <c r="I2" s="3" t="inlineStr">
        <is>
          <t>Bv3_step3_compare (2026-08-03)</t>
        </is>
      </c>
      <c r="J2" s="3" t="inlineStr">
        <is>
          <t>Bv4_step3_compare (2026-08-03)</t>
        </is>
      </c>
    </row>
    <row r="3">
      <c r="A3" s="4" t="inlineStr">
        <is>
          <t>E1</t>
        </is>
      </c>
      <c r="B3" s="5" t="inlineStr">
        <is>
          <t>Direct property tax rate characterization</t>
        </is>
      </c>
      <c r="C3" s="5" t="inlineStr">
        <is>
          <t>RSR 'Very Low' vs article 'High'</t>
        </is>
      </c>
      <c r="D3" s="5" t="inlineStr">
        <is>
          <t>Medium (AQV Table 9 Item 2b)</t>
        </is>
      </c>
      <c r="E3" s="6" t="inlineStr">
        <is>
          <t>✗ miss</t>
        </is>
      </c>
      <c r="F3" s="6" t="inlineStr">
        <is>
          <t>✗ miss</t>
        </is>
      </c>
      <c r="G3" s="6" t="inlineStr">
        <is>
          <t>✗ miss</t>
        </is>
      </c>
      <c r="H3" s="7" t="inlineStr">
        <is>
          <t>✓ hit</t>
        </is>
      </c>
      <c r="I3" s="6" t="inlineStr">
        <is>
          <t>✗ miss</t>
        </is>
      </c>
      <c r="J3" s="7" t="inlineStr">
        <is>
          <t>✓ hit</t>
        </is>
      </c>
    </row>
    <row r="4">
      <c r="A4" s="4" t="inlineStr">
        <is>
          <t>E2</t>
        </is>
      </c>
      <c r="B4" s="5" t="inlineStr">
        <is>
          <t>Total property tax rate characterization</t>
        </is>
      </c>
      <c r="C4" s="5" t="inlineStr">
        <is>
          <t>RSR 'Very Low' vs article 'High'</t>
        </is>
      </c>
      <c r="D4" s="5" t="inlineStr">
        <is>
          <t>Medium (AQV Table 9 Item 2b)</t>
        </is>
      </c>
      <c r="E4" s="6" t="inlineStr">
        <is>
          <t>✗ miss</t>
        </is>
      </c>
      <c r="F4" s="6" t="inlineStr">
        <is>
          <t>✗ miss</t>
        </is>
      </c>
      <c r="G4" s="6" t="inlineStr">
        <is>
          <t>✗ miss</t>
        </is>
      </c>
      <c r="H4" s="6" t="inlineStr">
        <is>
          <t>✗ miss</t>
        </is>
      </c>
      <c r="I4" s="6" t="inlineStr">
        <is>
          <t>✗ miss</t>
        </is>
      </c>
      <c r="J4" s="7" t="inlineStr">
        <is>
          <t>✓ hit</t>
        </is>
      </c>
    </row>
    <row r="5">
      <c r="A5" s="4" t="inlineStr">
        <is>
          <t>E3</t>
        </is>
      </c>
      <c r="B5" s="5" t="inlineStr">
        <is>
          <t>Maturity date</t>
        </is>
      </c>
      <c r="C5" s="5" t="inlineStr">
        <is>
          <t>RAMP 12/01/2055 vs article 12/01/2065</t>
        </is>
      </c>
      <c r="D5" s="5" t="inlineStr">
        <is>
          <t>Low (AQV Table 9 Item 3.1)</t>
        </is>
      </c>
      <c r="E5" s="6" t="inlineStr">
        <is>
          <t>✗ miss</t>
        </is>
      </c>
      <c r="F5" s="6" t="inlineStr">
        <is>
          <t>✗ miss</t>
        </is>
      </c>
      <c r="G5" s="6" t="inlineStr">
        <is>
          <t>✗ miss</t>
        </is>
      </c>
      <c r="H5" s="7" t="inlineStr">
        <is>
          <t>✓ hit</t>
        </is>
      </c>
      <c r="I5" s="7" t="inlineStr">
        <is>
          <t>✓ hit</t>
        </is>
      </c>
      <c r="J5" s="7" t="inlineStr">
        <is>
          <t>✓ hit</t>
        </is>
      </c>
    </row>
    <row r="6">
      <c r="A6" s="4" t="inlineStr">
        <is>
          <t>E4</t>
        </is>
      </c>
      <c r="B6" s="5" t="inlineStr">
        <is>
          <t>AV year table shift</t>
        </is>
      </c>
      <c r="C6" s="5" t="inlineStr">
        <is>
          <t>RSR 2024 AV 15,997 missing from published table</t>
        </is>
      </c>
      <c r="D6" s="5" t="inlineStr">
        <is>
          <t>Low (AQV Table 9 Item 3.2)</t>
        </is>
      </c>
      <c r="E6" s="8" t="inlineStr">
        <is>
          <t>△ partial</t>
        </is>
      </c>
      <c r="F6" s="6" t="inlineStr">
        <is>
          <t>✗ miss</t>
        </is>
      </c>
      <c r="G6" s="6" t="inlineStr">
        <is>
          <t>✗ miss</t>
        </is>
      </c>
      <c r="H6" s="7" t="inlineStr">
        <is>
          <t>✓ hit</t>
        </is>
      </c>
      <c r="I6" s="7" t="inlineStr">
        <is>
          <t>✓ hit</t>
        </is>
      </c>
      <c r="J6" s="7" t="inlineStr">
        <is>
          <t>✓ hit</t>
        </is>
      </c>
    </row>
    <row r="7">
      <c r="A7" s="4" t="inlineStr">
        <is>
          <t>E5</t>
        </is>
      </c>
      <c r="B7" s="5" t="inlineStr">
        <is>
          <t>MADS year</t>
        </is>
      </c>
      <c r="C7" s="5" t="inlineStr">
        <is>
          <t>RSR 2038 vs article footnote 2035</t>
        </is>
      </c>
      <c r="D7" s="5" t="inlineStr">
        <is>
          <t>Confirmed in files; not in AQV findings</t>
        </is>
      </c>
      <c r="E7" s="6" t="inlineStr">
        <is>
          <t>✗ miss</t>
        </is>
      </c>
      <c r="F7" s="6" t="inlineStr">
        <is>
          <t>✗ miss</t>
        </is>
      </c>
      <c r="G7" s="6" t="inlineStr">
        <is>
          <t>✗ miss</t>
        </is>
      </c>
      <c r="H7" s="6" t="inlineStr">
        <is>
          <t>✗ miss</t>
        </is>
      </c>
      <c r="I7" s="7" t="inlineStr">
        <is>
          <t>✓ hit</t>
        </is>
      </c>
      <c r="J7" s="7" t="inlineStr">
        <is>
          <t>✓ hit</t>
        </is>
      </c>
    </row>
    <row r="8">
      <c r="B8" s="9" t="inlineStr">
        <is>
          <t>False alarms (count)</t>
        </is>
      </c>
      <c r="E8" s="10" t="inlineStr">
        <is>
          <t>4</t>
        </is>
      </c>
      <c r="F8" s="10" t="inlineStr">
        <is>
          <t>4</t>
        </is>
      </c>
      <c r="G8" s="10" t="inlineStr">
        <is>
          <t>2</t>
        </is>
      </c>
      <c r="H8" s="10" t="inlineStr">
        <is>
          <t>8</t>
        </is>
      </c>
      <c r="I8" s="10" t="inlineStr">
        <is>
          <t>6</t>
        </is>
      </c>
      <c r="J8" s="10" t="inlineStr">
        <is>
          <t>1</t>
        </is>
      </c>
    </row>
    <row r="9">
      <c r="B9" s="9" t="inlineStr">
        <is>
          <t>Errors caught (hit or partial, of 5)</t>
        </is>
      </c>
      <c r="E9" s="11">
        <f>COUNTIF(E3:E7,"*hit*")+COUNTIF(E3:E7,"*partial*")</f>
        <v/>
      </c>
      <c r="F9" s="11">
        <f>COUNTIF(F3:F7,"*hit*")+COUNTIF(F3:F7,"*partial*")</f>
        <v/>
      </c>
      <c r="G9" s="11">
        <f>COUNTIF(G3:G7,"*hit*")+COUNTIF(G3:G7,"*partial*")</f>
        <v/>
      </c>
      <c r="H9" s="11">
        <f>COUNTIF(H3:H7,"*hit*")+COUNTIF(H3:H7,"*partial*")</f>
        <v/>
      </c>
      <c r="I9" s="11">
        <f>COUNTIF(I3:I7,"*hit*")+COUNTIF(I3:I7,"*partial*")</f>
        <v/>
      </c>
      <c r="J9" s="11">
        <f>COUNTIF(J3:J7,"*hit*")+COUNTIF(J3:J7,"*partial*")</f>
        <v/>
      </c>
    </row>
    <row r="11">
      <c r="A11" s="12" t="inlineStr">
        <is>
          <t>Lab-record scoring: each column = ONE archived run (row 2 shows its run id / saved output file). Re-graded 2026-08-04 directly from transcriptions of the archived outputs (output_results/Bv*_step3_transcript_20260803.md) after transcription errors were found in the original grading. Reruns get a NEW column — history is never overwritten. ✓ hit = correctly identified; △ partial = related anomaly noticed but mischaracterized; ✗ miss = not reported.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" customWidth="1" min="2" max="2"/>
    <col width="58" customWidth="1" min="3" max="3"/>
    <col width="46" customWidth="1" min="4" max="4"/>
    <col width="12" customWidth="1" min="5" max="5"/>
  </cols>
  <sheetData>
    <row r="1">
      <c r="A1" s="13" t="inlineStr">
        <is>
          <t>Run</t>
        </is>
      </c>
      <c r="B1" s="13" t="inlineStr">
        <is>
          <t>#</t>
        </is>
      </c>
      <c r="C1" s="13" t="inlineStr">
        <is>
          <t>What the model reported (condensed)</t>
        </is>
      </c>
      <c r="D1" s="13" t="inlineStr">
        <is>
          <t>Classification</t>
        </is>
      </c>
      <c r="E1" s="13" t="inlineStr">
        <is>
          <t>Maps to</t>
        </is>
      </c>
    </row>
    <row r="2">
      <c r="A2" s="14" t="inlineStr">
        <is>
          <t>A run 1</t>
        </is>
      </c>
      <c r="B2" s="15" t="n">
        <v>1</v>
      </c>
      <c r="C2" s="16" t="inlineStr">
        <is>
          <t>Rating recommendation: RAMP refers to PCR PDF; claims comparables ('BBB+'/'BBB') vs Research Update ('BBB+') discrepancy</t>
        </is>
      </c>
      <c r="D2" s="16" t="inlineStr">
        <is>
          <t>False alarm — no real inconsistency (everything is BBB+)</t>
        </is>
      </c>
      <c r="E2" s="17" t="inlineStr">
        <is>
          <t>—</t>
        </is>
      </c>
    </row>
    <row r="3">
      <c r="A3" s="14" t="inlineStr"/>
      <c r="B3" s="15" t="n">
        <v>2</v>
      </c>
      <c r="C3" s="16" t="inlineStr">
        <is>
          <t>Direct tax rate: internal 2025 estimate 7.26 ($/100) vs article 2024 72.67 (mills) reported as inconsistent</t>
        </is>
      </c>
      <c r="D3" s="16" t="inlineStr">
        <is>
          <t>False alarm — same number, different units (x10)</t>
        </is>
      </c>
      <c r="E3" s="17" t="inlineStr">
        <is>
          <t>—</t>
        </is>
      </c>
    </row>
    <row r="4">
      <c r="A4" s="14" t="inlineStr"/>
      <c r="B4" s="15" t="n">
        <v>3</v>
      </c>
      <c r="C4" s="16" t="inlineStr">
        <is>
          <t>Total tax rate: 17.1 ($/100) vs 171.14 (mills)</t>
        </is>
      </c>
      <c r="D4" s="16" t="inlineStr">
        <is>
          <t>False alarm — same number, different units</t>
        </is>
      </c>
      <c r="E4" s="17" t="inlineStr">
        <is>
          <t>—</t>
        </is>
      </c>
    </row>
    <row r="5">
      <c r="A5" s="14" t="inlineStr"/>
      <c r="B5" s="15" t="n">
        <v>4</v>
      </c>
      <c r="C5" s="16" t="inlineStr">
        <is>
          <t>DSFB 1.96 vs 196%</t>
        </is>
      </c>
      <c r="D5" s="16" t="inlineStr">
        <is>
          <t>False alarm — decimal vs percent format</t>
        </is>
      </c>
      <c r="E5" s="17" t="inlineStr">
        <is>
          <t>—</t>
        </is>
      </c>
    </row>
    <row r="6">
      <c r="A6" s="14" t="inlineStr"/>
      <c r="B6" s="15" t="n">
        <v>5</v>
      </c>
      <c r="C6" s="18" t="inlineStr">
        <is>
          <t>Assessed Value: internal 2026 estimate 18,482 vs article 2024 value 18,482</t>
        </is>
      </c>
      <c r="D6" s="18" t="inlineStr">
        <is>
          <t>Partial catch — same value under different year labels (symptom of the shifted table)</t>
        </is>
      </c>
      <c r="E6" s="19" t="inlineStr">
        <is>
          <t>E4 (partial)</t>
        </is>
      </c>
    </row>
    <row r="7">
      <c r="A7" s="14" t="inlineStr">
        <is>
          <t>A run 2</t>
        </is>
      </c>
      <c r="B7" s="15" t="n">
        <v>1</v>
      </c>
      <c r="C7" s="16" t="inlineStr">
        <is>
          <t>Rating recommendation: RAMP 5.1 'Recommended: RLOC' (template artifact) vs article BBB+</t>
        </is>
      </c>
      <c r="D7" s="16" t="inlineStr">
        <is>
          <t>False alarm — template field, not an inconsistency</t>
        </is>
      </c>
      <c r="E7" s="17" t="inlineStr">
        <is>
          <t>—</t>
        </is>
      </c>
    </row>
    <row r="8">
      <c r="A8" s="14" t="inlineStr"/>
      <c r="B8" s="15" t="n">
        <v>2</v>
      </c>
      <c r="C8" s="16" t="inlineStr">
        <is>
          <t>Direct tax rate 7.26 vs 72.67 (note juxtaposes internal 2024 audit 6.88)</t>
        </is>
      </c>
      <c r="D8" s="16" t="inlineStr">
        <is>
          <t>False alarm — same number, different units</t>
        </is>
      </c>
      <c r="E8" s="17" t="inlineStr">
        <is>
          <t>—</t>
        </is>
      </c>
    </row>
    <row r="9">
      <c r="A9" s="14" t="inlineStr"/>
      <c r="B9" s="15" t="n">
        <v>3</v>
      </c>
      <c r="C9" s="16" t="inlineStr">
        <is>
          <t>Total tax rate 17.1 vs 171.14 (note: internal 2024 = 159.97)</t>
        </is>
      </c>
      <c r="D9" s="16" t="inlineStr">
        <is>
          <t>False alarm — same number, different units</t>
        </is>
      </c>
      <c r="E9" s="17" t="inlineStr">
        <is>
          <t>—</t>
        </is>
      </c>
    </row>
    <row r="10">
      <c r="A10" s="14" t="inlineStr"/>
      <c r="B10" s="15" t="n">
        <v>4</v>
      </c>
      <c r="C10" s="16" t="inlineStr">
        <is>
          <t>DSFB 1.96 vs 196%</t>
        </is>
      </c>
      <c r="D10" s="16" t="inlineStr">
        <is>
          <t>False alarm — decimal vs percent format</t>
        </is>
      </c>
      <c r="E10" s="17" t="inlineStr">
        <is>
          <t>—</t>
        </is>
      </c>
    </row>
    <row r="11">
      <c r="A11" s="14" t="inlineStr">
        <is>
          <t>A run 3</t>
        </is>
      </c>
      <c r="B11" s="15" t="n">
        <v>1</v>
      </c>
      <c r="C11" s="16" t="inlineStr">
        <is>
          <t>Rating recommendation: flags Ratings List 'BBB+/Stable' vs Overview 'BBB+' as a discrepancy</t>
        </is>
      </c>
      <c r="D11" s="16" t="inlineStr">
        <is>
          <t>False alarm — same rating, different notation</t>
        </is>
      </c>
      <c r="E11" s="17" t="inlineStr">
        <is>
          <t>—</t>
        </is>
      </c>
    </row>
    <row r="12">
      <c r="A12" s="14" t="inlineStr"/>
      <c r="B12" s="15" t="n">
        <v>2</v>
      </c>
      <c r="C12" s="20" t="inlineStr">
        <is>
          <t>Direct tax rate: notes 72.67 mills = 7.267/$100, aligns with internal 2025 estimate but contradicts internal 2024 audit 6.88</t>
        </is>
      </c>
      <c r="D12" s="20" t="inlineStr">
        <is>
          <t>Genuine catch beyond E1–E5 — converted units correctly AND spotted the year misalignment (shift family)</t>
        </is>
      </c>
      <c r="E12" s="21" t="inlineStr">
        <is>
          <t>extra ✓</t>
        </is>
      </c>
    </row>
    <row r="13">
      <c r="A13" s="14" t="inlineStr"/>
      <c r="B13" s="15" t="n">
        <v>3</v>
      </c>
      <c r="C13" s="20" t="inlineStr">
        <is>
          <t>Total tax rate: 171.14 mills = 17.114/$100, aligns with 2025 estimate, contradicts 2024 audit 159.97</t>
        </is>
      </c>
      <c r="D13" s="20" t="inlineStr">
        <is>
          <t>Genuine catch beyond E1–E5 — shift family</t>
        </is>
      </c>
      <c r="E13" s="21" t="inlineStr">
        <is>
          <t>extra ✓</t>
        </is>
      </c>
    </row>
    <row r="14">
      <c r="A14" s="14" t="inlineStr"/>
      <c r="B14" s="15" t="n">
        <v>4</v>
      </c>
      <c r="C14" s="16" t="inlineStr">
        <is>
          <t>DSFB 1.96 vs 196%</t>
        </is>
      </c>
      <c r="D14" s="16" t="inlineStr">
        <is>
          <t>False alarm — decimal vs percent format</t>
        </is>
      </c>
      <c r="E14" s="17" t="inlineStr">
        <is>
          <t>—</t>
        </is>
      </c>
    </row>
    <row r="15">
      <c r="A15" s="14" t="inlineStr">
        <is>
          <t>B v2</t>
        </is>
      </c>
      <c r="B15" s="15" t="n">
        <v>1</v>
      </c>
      <c r="C15" s="22" t="inlineStr">
        <is>
          <t>Assessed Value: year labels shifted, same values under different years</t>
        </is>
      </c>
      <c r="D15" s="22" t="inlineStr">
        <is>
          <t>Genuine catch</t>
        </is>
      </c>
      <c r="E15" s="23" t="inlineStr">
        <is>
          <t>E4 ✓</t>
        </is>
      </c>
    </row>
    <row r="16">
      <c r="A16" s="14" t="inlineStr"/>
      <c r="B16" s="15" t="n">
        <v>2</v>
      </c>
      <c r="C16" s="20" t="inlineStr">
        <is>
          <t>Actual Value: values assigned to different years across documents</t>
        </is>
      </c>
      <c r="D16" s="20" t="inlineStr">
        <is>
          <t>Genuine catch beyond E1–E5 — publication-table shift family</t>
        </is>
      </c>
      <c r="E16" s="21" t="inlineStr">
        <is>
          <t>extra ✓</t>
        </is>
      </c>
    </row>
    <row r="17">
      <c r="A17" s="14" t="inlineStr"/>
      <c r="B17" s="15" t="n">
        <v>3</v>
      </c>
      <c r="C17" s="16" t="inlineStr">
        <is>
          <t>Ten largest taxpayers 0.0477% vs 4.8% 'values and years do not match'</t>
        </is>
      </c>
      <c r="D17" s="16" t="inlineStr">
        <is>
          <t>False alarm — decimal vs percent format</t>
        </is>
      </c>
      <c r="E17" s="17" t="inlineStr">
        <is>
          <t>—</t>
        </is>
      </c>
    </row>
    <row r="18">
      <c r="A18" s="14" t="inlineStr"/>
      <c r="B18" s="15" t="n">
        <v>4</v>
      </c>
      <c r="C18" s="16" t="inlineStr">
        <is>
          <t>Status of development: numeric values equivalent, characterizations differ ('All built out' vs 'Mature')</t>
        </is>
      </c>
      <c r="D18" s="16" t="inlineStr">
        <is>
          <t>False alarm — same meaning, different wording (numeric equivalence correctly recognized)</t>
        </is>
      </c>
      <c r="E18" s="17" t="inlineStr">
        <is>
          <t>—</t>
        </is>
      </c>
    </row>
    <row r="19">
      <c r="A19" s="14" t="inlineStr"/>
      <c r="B19" s="15" t="n">
        <v>5</v>
      </c>
      <c r="C19" s="16" t="inlineStr">
        <is>
          <t>Available reserves 0.64 vs 64.0% 'differ significantly after normalization'</t>
        </is>
      </c>
      <c r="D19" s="16" t="inlineStr">
        <is>
          <t>False alarm — decimal vs percent format</t>
        </is>
      </c>
      <c r="E19" s="17" t="inlineStr">
        <is>
          <t>—</t>
        </is>
      </c>
    </row>
    <row r="20">
      <c r="A20" s="14" t="inlineStr"/>
      <c r="B20" s="15" t="n">
        <v>6</v>
      </c>
      <c r="C20" s="16" t="inlineStr">
        <is>
          <t>DSFB 1.96 vs 196% 'differ significantly after normalization'</t>
        </is>
      </c>
      <c r="D20" s="16" t="inlineStr">
        <is>
          <t>False alarm — decimal vs percent format</t>
        </is>
      </c>
      <c r="E20" s="17" t="inlineStr">
        <is>
          <t>—</t>
        </is>
      </c>
    </row>
    <row r="21">
      <c r="A21" s="14" t="inlineStr"/>
      <c r="B21" s="15" t="n">
        <v>7</v>
      </c>
      <c r="C21" s="24" t="inlineStr">
        <is>
          <t>Direct tax rate 7.26 ($/100) vs 72.67 (mills) 'values and years do not match'</t>
        </is>
      </c>
      <c r="D21" s="24" t="inlineStr">
        <is>
          <t>Mixed — year part genuine, but the value claim is a unit false alarm</t>
        </is>
      </c>
      <c r="E21" s="25" t="inlineStr">
        <is>
          <t>—</t>
        </is>
      </c>
    </row>
    <row r="22">
      <c r="A22" s="14" t="inlineStr"/>
      <c r="B22" s="15" t="n">
        <v>8</v>
      </c>
      <c r="C22" s="22" t="inlineStr">
        <is>
          <t>Direct tax rate characterization: [A] 'Very low' (2022 row) vs [B] 'High' (2024 row) — 'contradictory'</t>
        </is>
      </c>
      <c r="D22" s="22" t="inlineStr">
        <is>
          <t>Genuine catch — despite labels sitting on different single year rows</t>
        </is>
      </c>
      <c r="E22" s="23" t="inlineStr">
        <is>
          <t>E1 ✓</t>
        </is>
      </c>
    </row>
    <row r="23">
      <c r="A23" s="14" t="inlineStr"/>
      <c r="B23" s="15" t="n">
        <v>9</v>
      </c>
      <c r="C23" s="24" t="inlineStr">
        <is>
          <t>Total tax rate 17.1 ($/100) vs 171.14 (mills) 'values and years do not match'</t>
        </is>
      </c>
      <c r="D23" s="24" t="inlineStr">
        <is>
          <t>Mixed — unit false alarm; characterization contradiction NOT reported for total</t>
        </is>
      </c>
      <c r="E23" s="25" t="inlineStr">
        <is>
          <t>E2 ✗</t>
        </is>
      </c>
    </row>
    <row r="24">
      <c r="A24" s="14" t="inlineStr"/>
      <c r="B24" s="15" t="n">
        <v>10</v>
      </c>
      <c r="C24" s="16" t="inlineStr">
        <is>
          <t>Overall net debt 0.0437593% vs 4.4% 'do not match'</t>
        </is>
      </c>
      <c r="D24" s="16" t="inlineStr">
        <is>
          <t>False alarm — decimal vs percent format</t>
        </is>
      </c>
      <c r="E24" s="17" t="inlineStr">
        <is>
          <t>—</t>
        </is>
      </c>
    </row>
    <row r="25">
      <c r="A25" s="14" t="inlineStr"/>
      <c r="B25" s="15" t="n">
        <v>11</v>
      </c>
      <c r="C25" s="22" t="inlineStr">
        <is>
          <t>Bond maturity: due December 01, 2065 [article] vs due 12/01/2055 [RAMP]</t>
        </is>
      </c>
      <c r="D25" s="22" t="inlineStr">
        <is>
          <t>Genuine catch</t>
        </is>
      </c>
      <c r="E25" s="23" t="inlineStr">
        <is>
          <t>E3 ✓</t>
        </is>
      </c>
    </row>
    <row r="26">
      <c r="A26" s="14" t="inlineStr"/>
      <c r="B26" s="15" t="n">
        <v>12</v>
      </c>
      <c r="C26" s="16" t="inlineStr">
        <is>
          <t>Bond amount US12,770,000 vs US12.8 mil 'different'</t>
        </is>
      </c>
      <c r="D26" s="16" t="inlineStr">
        <is>
          <t>False alarm — same amount, different formatting</t>
        </is>
      </c>
      <c r="E26" s="17" t="inlineStr">
        <is>
          <t>—</t>
        </is>
      </c>
    </row>
    <row r="27">
      <c r="A27" s="14" t="inlineStr">
        <is>
          <t>B v3</t>
        </is>
      </c>
      <c r="B27" s="15" t="n">
        <v>1</v>
      </c>
      <c r="C27" s="22" t="inlineStr">
        <is>
          <t>Assessed Value year labels shifted (2024 BLANK noted)</t>
        </is>
      </c>
      <c r="D27" s="22" t="inlineStr">
        <is>
          <t>Genuine catch</t>
        </is>
      </c>
      <c r="E27" s="23" t="inlineStr">
        <is>
          <t>E4 ✓</t>
        </is>
      </c>
    </row>
    <row r="28">
      <c r="A28" s="14" t="inlineStr"/>
      <c r="B28" s="15" t="n">
        <v>2</v>
      </c>
      <c r="C28" s="20" t="inlineStr">
        <is>
          <t>Actual Value values assigned to different years</t>
        </is>
      </c>
      <c r="D28" s="20" t="inlineStr">
        <is>
          <t>Genuine catch beyond E1–E5 — shift family</t>
        </is>
      </c>
      <c r="E28" s="21" t="inlineStr">
        <is>
          <t>extra ✓</t>
        </is>
      </c>
    </row>
    <row r="29">
      <c r="A29" s="14" t="inlineStr"/>
      <c r="B29" s="15" t="n">
        <v>3</v>
      </c>
      <c r="C29" s="16" t="inlineStr">
        <is>
          <t>Status of development 1 vs 100% 'values do not match'</t>
        </is>
      </c>
      <c r="D29" s="16" t="inlineStr">
        <is>
          <t>False alarm — decimal vs percent (equivalence NOT recognized this time)</t>
        </is>
      </c>
      <c r="E29" s="17" t="inlineStr">
        <is>
          <t>—</t>
        </is>
      </c>
    </row>
    <row r="30">
      <c r="A30" s="14" t="inlineStr"/>
      <c r="B30" s="15" t="n">
        <v>4</v>
      </c>
      <c r="C30" s="24" t="inlineStr">
        <is>
          <t>AGFB 0.761/0.804/0.639 vs 76.1%/80.5%/64.0%, year labels inconsistent</t>
        </is>
      </c>
      <c r="D30" s="24" t="inlineStr">
        <is>
          <t>Mixed — year part genuine; value claim is a decimal-vs-percent false alarm</t>
        </is>
      </c>
      <c r="E30" s="25" t="inlineStr">
        <is>
          <t>—</t>
        </is>
      </c>
    </row>
    <row r="31">
      <c r="A31" s="14" t="inlineStr"/>
      <c r="B31" s="15" t="n">
        <v>5</v>
      </c>
      <c r="C31" s="16" t="inlineStr">
        <is>
          <t>DSFB 1.96% vs 196% 'differ significantly (0.0196 vs 1.96)'</t>
        </is>
      </c>
      <c r="D31" s="16" t="inlineStr">
        <is>
          <t>False alarm — decimal vs percent; conversion mis-applied</t>
        </is>
      </c>
      <c r="E31" s="17" t="inlineStr">
        <is>
          <t>—</t>
        </is>
      </c>
    </row>
    <row r="32">
      <c r="A32" s="14" t="inlineStr"/>
      <c r="B32" s="15" t="n">
        <v>6</v>
      </c>
      <c r="C32" s="24" t="inlineStr">
        <is>
          <t>Direct tax rate: shifted one year AND 'values do not align even after converting mills'</t>
        </is>
      </c>
      <c r="D32" s="24" t="inlineStr">
        <is>
          <t>Mixed — year shift genuine; value claim false (they DO align after ×10); characterization not compared</t>
        </is>
      </c>
      <c r="E32" s="25" t="inlineStr">
        <is>
          <t>E1 ✗</t>
        </is>
      </c>
    </row>
    <row r="33">
      <c r="A33" s="14" t="inlineStr"/>
      <c r="B33" s="15" t="n">
        <v>7</v>
      </c>
      <c r="C33" s="24" t="inlineStr">
        <is>
          <t>Total tax rate values and year labels inconsistent</t>
        </is>
      </c>
      <c r="D33" s="24" t="inlineStr">
        <is>
          <t>Mixed — unit/format false alarm; characterization not compared</t>
        </is>
      </c>
      <c r="E33" s="25" t="inlineStr">
        <is>
          <t>E2 ✗</t>
        </is>
      </c>
    </row>
    <row r="34">
      <c r="A34" s="14" t="inlineStr"/>
      <c r="B34" s="15" t="n">
        <v>8</v>
      </c>
      <c r="C34" s="16" t="inlineStr">
        <is>
          <t>Overall net debt 0.0437593% vs 4.4% 'do not match'</t>
        </is>
      </c>
      <c r="D34" s="16" t="inlineStr">
        <is>
          <t>False alarm — decimal vs percent format</t>
        </is>
      </c>
      <c r="E34" s="17" t="inlineStr">
        <is>
          <t>—</t>
        </is>
      </c>
    </row>
    <row r="35">
      <c r="A35" s="14" t="inlineStr"/>
      <c r="B35" s="15" t="n">
        <v>9</v>
      </c>
      <c r="C35" s="22" t="inlineStr">
        <is>
          <t>MADS year: 2038 (RSR characterization) vs 2035 (article footnote)</t>
        </is>
      </c>
      <c r="D35" s="22" t="inlineStr">
        <is>
          <t>Genuine catch — not in official review findings</t>
        </is>
      </c>
      <c r="E35" s="23" t="inlineStr">
        <is>
          <t>E5 ✓</t>
        </is>
      </c>
    </row>
    <row r="36">
      <c r="A36" s="14" t="inlineStr"/>
      <c r="B36" s="15" t="n">
        <v>10</v>
      </c>
      <c r="C36" s="22" t="inlineStr">
        <is>
          <t>Bond maturity 2065 vs 2055</t>
        </is>
      </c>
      <c r="D36" s="22" t="inlineStr">
        <is>
          <t>Genuine catch</t>
        </is>
      </c>
      <c r="E36" s="23" t="inlineStr">
        <is>
          <t>E3 ✓</t>
        </is>
      </c>
    </row>
    <row r="37">
      <c r="A37" s="14" t="inlineStr">
        <is>
          <t>B v4</t>
        </is>
      </c>
      <c r="B37" s="15" t="n">
        <v>1</v>
      </c>
      <c r="C37" s="22" t="inlineStr">
        <is>
          <t>Year alignment (Assessed Value): sequences shifted, same values under different years</t>
        </is>
      </c>
      <c r="D37" s="22" t="inlineStr">
        <is>
          <t>Genuine catch</t>
        </is>
      </c>
      <c r="E37" s="23" t="inlineStr">
        <is>
          <t>E4 ✓</t>
        </is>
      </c>
    </row>
    <row r="38">
      <c r="A38" s="14" t="inlineStr"/>
      <c r="B38" s="15" t="n">
        <v>2</v>
      </c>
      <c r="C38" s="20" t="inlineStr">
        <is>
          <t>Year alignment (Actual Value): 291,824 under 2026 [A] vs 2024 [B]</t>
        </is>
      </c>
      <c r="D38" s="20" t="inlineStr">
        <is>
          <t>Genuine catch beyond E1–E5 — shift family</t>
        </is>
      </c>
      <c r="E38" s="21" t="inlineStr">
        <is>
          <t>extra ✓</t>
        </is>
      </c>
    </row>
    <row r="39">
      <c r="A39" s="14" t="inlineStr"/>
      <c r="B39" s="15" t="n">
        <v>3</v>
      </c>
      <c r="C39" s="20" t="inlineStr">
        <is>
          <t>Year alignment (Direct tax rate): 64.4/66.3/68.8/72.6 vs 64.48/66.34/68.82/72.67, shifted one year</t>
        </is>
      </c>
      <c r="D39" s="20" t="inlineStr">
        <is>
          <t>Genuine catch beyond E1–E5 — shift family; note units correctly normalized to mills, no unit false alarm</t>
        </is>
      </c>
      <c r="E39" s="21" t="inlineStr">
        <is>
          <t>extra ✓</t>
        </is>
      </c>
    </row>
    <row r="40">
      <c r="A40" s="14" t="inlineStr"/>
      <c r="B40" s="15" t="n">
        <v>4</v>
      </c>
      <c r="C40" s="20" t="inlineStr">
        <is>
          <t>Year alignment (Total tax rate): 171 [2025, A] vs 171.14 [2024, B]</t>
        </is>
      </c>
      <c r="D40" s="20" t="inlineStr">
        <is>
          <t>Genuine catch beyond E1–E5 — shift family; values match after normalization</t>
        </is>
      </c>
      <c r="E40" s="21" t="inlineStr">
        <is>
          <t>extra ✓</t>
        </is>
      </c>
    </row>
    <row r="41">
      <c r="A41" s="14" t="inlineStr"/>
      <c r="B41" s="15" t="n">
        <v>5</v>
      </c>
      <c r="C41" s="20" t="inlineStr">
        <is>
          <t>Year alignment (Overall net debt): 4.37593 [2026, A] vs 4.4 [2024, B]</t>
        </is>
      </c>
      <c r="D41" s="20" t="inlineStr">
        <is>
          <t>Genuine catch beyond E1–E5 — shift family; decimal correctly normalized to %</t>
        </is>
      </c>
      <c r="E41" s="21" t="inlineStr">
        <is>
          <t>extra ✓</t>
        </is>
      </c>
    </row>
    <row r="42">
      <c r="A42" s="14" t="inlineStr"/>
      <c r="B42" s="15" t="n">
        <v>6</v>
      </c>
      <c r="C42" s="22" t="inlineStr">
        <is>
          <t>Characterization (Direct tax rate): 'Very low' [A] vs 'High' [B] — 'contradictory qualitative descriptions'</t>
        </is>
      </c>
      <c r="D42" s="22" t="inlineStr">
        <is>
          <t>Genuine catch — Medium-risk finding</t>
        </is>
      </c>
      <c r="E42" s="23" t="inlineStr">
        <is>
          <t>E1 ✓</t>
        </is>
      </c>
    </row>
    <row r="43">
      <c r="A43" s="14" t="inlineStr"/>
      <c r="B43" s="15" t="n">
        <v>7</v>
      </c>
      <c r="C43" s="22" t="inlineStr">
        <is>
          <t>Characterization (Total tax rate): 'Very low' [A] vs 'High' [B] — 'contradictory qualitative descriptions'</t>
        </is>
      </c>
      <c r="D43" s="22" t="inlineStr">
        <is>
          <t>Genuine catch — Medium-risk finding</t>
        </is>
      </c>
      <c r="E43" s="23" t="inlineStr">
        <is>
          <t>E2 ✓</t>
        </is>
      </c>
    </row>
    <row r="44">
      <c r="A44" s="14" t="inlineStr"/>
      <c r="B44" s="15" t="n">
        <v>8</v>
      </c>
      <c r="C44" s="16" t="inlineStr">
        <is>
          <t>Characterization (Status of development): 'All built out' vs 'Mature' — 'different qualitative descriptors'</t>
        </is>
      </c>
      <c r="D44" s="16" t="inlineStr">
        <is>
          <t>False alarm — same meaning, different wording (the final version's only false alarm)</t>
        </is>
      </c>
      <c r="E44" s="17" t="inlineStr">
        <is>
          <t>—</t>
        </is>
      </c>
    </row>
    <row r="45">
      <c r="A45" s="14" t="inlineStr"/>
      <c r="B45" s="15" t="n">
        <v>9</v>
      </c>
      <c r="C45" s="22" t="inlineStr">
        <is>
          <t>MADS year 2038 vs 2035</t>
        </is>
      </c>
      <c r="D45" s="22" t="inlineStr">
        <is>
          <t>Genuine catch — not in official review findings</t>
        </is>
      </c>
      <c r="E45" s="23" t="inlineStr">
        <is>
          <t>E5 ✓</t>
        </is>
      </c>
    </row>
    <row r="46">
      <c r="A46" s="14" t="inlineStr"/>
      <c r="B46" s="15" t="n">
        <v>10</v>
      </c>
      <c r="C46" s="22" t="inlineStr">
        <is>
          <t>Bond maturity: due December 01, 2065 vs due 12/01/2055</t>
        </is>
      </c>
      <c r="D46" s="22" t="inlineStr">
        <is>
          <t>Genuine catch</t>
        </is>
      </c>
      <c r="E46" s="23" t="inlineStr">
        <is>
          <t>E3 ✓</t>
        </is>
      </c>
    </row>
    <row r="48">
      <c r="A48" s="12" t="inlineStr">
        <is>
          <t>Condensed from Lun's 2026-08-04 transcriptions of the archived run outputs (output_results/A_oneshot_runs_transcript_20260802.md and Bv*_step3_transcript_20260803.md; run ids on the Scorecard sheet). Green = E1–E5 catch; blue = genuine catch beyond E1–E5 (publication-table shift family); yellow = partial; red = false alarm; gray = mixed/other. Wording is summarized — quote the archived output files for exact language.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2026-08-05T19:17:19Z</dcterms:created>
  <dcterms:modified xmlns:dcterms="http://purl.org/dc/terms/" xmlns:xsi="http://www.w3.org/2001/XMLSchema-instance" xsi:type="dcterms:W3CDTF">2026-08-05T19:17:19Z</dcterms:modified>
</cp:coreProperties>
</file>